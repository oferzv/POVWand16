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egaleProjects\pov_test\Manufacturing\BOM\"/>
    </mc:Choice>
  </mc:AlternateContent>
  <xr:revisionPtr revIDLastSave="0" documentId="13_ncr:1_{9E94EAD5-3423-4A93-82FA-60199496C929}" xr6:coauthVersionLast="44" xr6:coauthVersionMax="44" xr10:uidLastSave="{00000000-0000-0000-0000-000000000000}"/>
  <bookViews>
    <workbookView minimized="1" xWindow="-18072" yWindow="-156" windowWidth="18900" windowHeight="1105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8" i="1" l="1"/>
  <c r="G12" i="1" s="1"/>
  <c r="G6" i="1"/>
  <c r="G7" i="1"/>
  <c r="G9" i="1"/>
  <c r="G10" i="1"/>
  <c r="G11" i="1"/>
  <c r="G5" i="1"/>
</calcChain>
</file>

<file path=xl/sharedStrings.xml><?xml version="1.0" encoding="utf-8"?>
<sst xmlns="http://schemas.openxmlformats.org/spreadsheetml/2006/main" count="39" uniqueCount="39">
  <si>
    <t>Qty</t>
  </si>
  <si>
    <t>Parts</t>
  </si>
  <si>
    <t>MF</t>
  </si>
  <si>
    <t>MPN</t>
  </si>
  <si>
    <t>VALUE</t>
  </si>
  <si>
    <t>FOOTPRINT</t>
  </si>
  <si>
    <t>DESCRIPTION</t>
  </si>
  <si>
    <t>#</t>
  </si>
  <si>
    <t>SW1</t>
  </si>
  <si>
    <t>R1, R2, R3, R4, R5, R6, R7, R8, R9, R10, R11, R12, R13, R14, R15, R16</t>
  </si>
  <si>
    <t>D1, D2, D3, D4, D5, D6, D7, D8, D9, D10, D11, D12, D13, D14, D15, D16</t>
  </si>
  <si>
    <t>M1</t>
  </si>
  <si>
    <t>BT1</t>
  </si>
  <si>
    <t>S1</t>
  </si>
  <si>
    <t>C&amp;K</t>
  </si>
  <si>
    <t>MPD _Memory</t>
  </si>
  <si>
    <t>PTS645SM43-2 LFS</t>
  </si>
  <si>
    <t>BH9VPC</t>
  </si>
  <si>
    <t>SS12F44G5</t>
  </si>
  <si>
    <t>100Ohm</t>
  </si>
  <si>
    <t>3mm</t>
  </si>
  <si>
    <t>6.00mm x 6.00mm</t>
  </si>
  <si>
    <t>T/H</t>
  </si>
  <si>
    <t>RADIAL 3MM</t>
  </si>
  <si>
    <t>SWITCH TACTILE SPST-NO 0.05A 12V</t>
  </si>
  <si>
    <t xml:space="preserve"> Battery Holder _Open_ 9V 1 Cell PC Pin </t>
  </si>
  <si>
    <t>povTest BOM</t>
  </si>
  <si>
    <t>https://www.taydaelectronics.com/electromechanical/switches-key-pad/slide-switch/slide-switch-1p2t-through-hole-0-5a-50vdc.html</t>
  </si>
  <si>
    <t>https://www.taydaelectronics.com/electromechanical/switches-key-pad/tact-switch/tact-switch-6-6mm-7mm-through-hole-spst-no-1.html</t>
  </si>
  <si>
    <t>PRICE</t>
  </si>
  <si>
    <t>TOTAL</t>
  </si>
  <si>
    <t>https://www.taydaelectronics.com/resistors/1-4w-metal-film-resistors/test-group-2.html</t>
  </si>
  <si>
    <t>https://www.taydaelectronics.com/9v-battery-holder-6.html</t>
  </si>
  <si>
    <t>https://www.taydaelectronics.com/leds/round-leds/3mm-leds/led-3mm-red.html</t>
  </si>
  <si>
    <t>https://www.taydaelectronics.com/nano-3-0-controller-compatible-with-arduino-nano-ch340-usb-driver.html</t>
  </si>
  <si>
    <t>https://www.taydaelectronics.com/connectors-sockets/pin-headers/15-pin-2-54-mm-single-row-female-pin-header.html</t>
  </si>
  <si>
    <t>15 PIN 2.54MM SINGLE ROW FEMALE PIN HEADER</t>
  </si>
  <si>
    <t>SLIDE SWITCH 1P2T THROUGH HOLE 0.5A 50VDC</t>
  </si>
  <si>
    <t>NANO 3.0 CONTROLLER COMPATIBLE WITH ARDUINO NANO CH340 USB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</si>
</sst>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₪&quot;* #,##0.00_-;\-&quot;₪&quot;* #,##0.00_-;_-&quot;₪&quot;* &quot;-&quot;??_-;_-@_-"/>
    <numFmt numFmtId="164" formatCode="_-[$$-409]* #,##0.00_ ;_-[$$-409]* \-#,##0.00\ ;_-[$$-409]* &quot;-&quot;??_ ;_-@_ "/>
    <numFmt numFmtId="165" formatCode="_-[$$-409]* #,##0.000_ ;_-[$$-409]* \-#,##0.000\ ;_-[$$-409]* &quot;-&quot;??_ ;_-@_ "/>
  </numFmts>
  <fonts count="5" x14ac:knownFonts="1">
    <font>
      <sz val="11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1" applyNumberFormat="1" applyFont="1" applyAlignment="1">
      <alignment vertical="top"/>
    </xf>
    <xf numFmtId="164" fontId="0" fillId="0" borderId="0" xfId="1" applyNumberFormat="1" applyFont="1" applyAlignment="1">
      <alignment vertical="top"/>
    </xf>
    <xf numFmtId="0" fontId="2" fillId="0" borderId="2" xfId="0" applyFont="1" applyBorder="1" applyAlignment="1">
      <alignment horizontal="center" vertical="top"/>
    </xf>
    <xf numFmtId="0" fontId="4" fillId="0" borderId="1" xfId="2" applyBorder="1" applyAlignment="1">
      <alignment vertical="top"/>
    </xf>
    <xf numFmtId="164" fontId="0" fillId="0" borderId="1" xfId="0" applyNumberFormat="1" applyBorder="1"/>
    <xf numFmtId="0" fontId="1" fillId="0" borderId="0" xfId="0" applyFont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taydaelectronics.com/resistors/1-4w-metal-film-resistors/test-group-2.html" TargetMode="External"/><Relationship Id="rId7" Type="http://schemas.openxmlformats.org/officeDocument/2006/relationships/hyperlink" Target="https://www.taydaelectronics.com/connectors-sockets/pin-headers/15-pin-2-54-mm-single-row-female-pin-header.html" TargetMode="External"/><Relationship Id="rId2" Type="http://schemas.openxmlformats.org/officeDocument/2006/relationships/hyperlink" Target="https://www.taydaelectronics.com/electromechanical/switches-key-pad/tact-switch/tact-switch-6-6mm-7mm-through-hole-spst-no-1.html" TargetMode="External"/><Relationship Id="rId1" Type="http://schemas.openxmlformats.org/officeDocument/2006/relationships/hyperlink" Target="https://www.taydaelectronics.com/electromechanical/switches-key-pad/slide-switch/slide-switch-1p2t-through-hole-0-5a-50vdc.html" TargetMode="External"/><Relationship Id="rId6" Type="http://schemas.openxmlformats.org/officeDocument/2006/relationships/hyperlink" Target="https://www.taydaelectronics.com/nano-3-0-controller-compatible-with-arduino-nano-ch340-usb-driver.html" TargetMode="External"/><Relationship Id="rId5" Type="http://schemas.openxmlformats.org/officeDocument/2006/relationships/hyperlink" Target="https://www.taydaelectronics.com/leds/round-leds/3mm-leds/led-3mm-red.html" TargetMode="External"/><Relationship Id="rId4" Type="http://schemas.openxmlformats.org/officeDocument/2006/relationships/hyperlink" Target="https://www.taydaelectronics.com/9v-battery-holder-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K5" sqref="K5"/>
    </sheetView>
  </sheetViews>
  <sheetFormatPr defaultRowHeight="15" x14ac:dyDescent="0.25"/>
  <cols>
    <col min="3" max="3" width="22.42578125" style="1" customWidth="1"/>
    <col min="4" max="4" width="14.140625" bestFit="1" customWidth="1"/>
    <col min="5" max="5" width="17" bestFit="1" customWidth="1"/>
    <col min="6" max="6" width="7.85546875" bestFit="1" customWidth="1"/>
    <col min="7" max="7" width="6.85546875" bestFit="1" customWidth="1"/>
    <col min="8" max="8" width="8.28515625" bestFit="1" customWidth="1"/>
    <col min="9" max="9" width="17" bestFit="1" customWidth="1"/>
    <col min="10" max="10" width="45.7109375" style="1" customWidth="1"/>
    <col min="11" max="11" width="124.42578125" bestFit="1" customWidth="1"/>
  </cols>
  <sheetData>
    <row r="1" spans="1:11" ht="28.5" x14ac:dyDescent="0.45">
      <c r="A1" s="12" t="s">
        <v>26</v>
      </c>
      <c r="B1" s="12"/>
      <c r="C1" s="12"/>
      <c r="D1" s="12"/>
      <c r="E1" s="12"/>
      <c r="F1" s="12"/>
      <c r="G1" s="12"/>
      <c r="H1" s="12"/>
      <c r="I1" s="12"/>
      <c r="J1" s="12"/>
    </row>
    <row r="4" spans="1:11" x14ac:dyDescent="0.25">
      <c r="A4" s="2" t="s">
        <v>7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29</v>
      </c>
      <c r="G4" s="2" t="s">
        <v>30</v>
      </c>
      <c r="H4" s="2" t="s">
        <v>4</v>
      </c>
      <c r="I4" s="2" t="s">
        <v>5</v>
      </c>
      <c r="J4" s="9" t="s">
        <v>6</v>
      </c>
      <c r="K4" s="3"/>
    </row>
    <row r="5" spans="1:11" x14ac:dyDescent="0.25">
      <c r="A5" s="4">
        <v>1</v>
      </c>
      <c r="B5" s="5">
        <v>1</v>
      </c>
      <c r="C5" s="1" t="s">
        <v>8</v>
      </c>
      <c r="D5" s="6" t="s">
        <v>14</v>
      </c>
      <c r="E5" s="6" t="s">
        <v>16</v>
      </c>
      <c r="F5" s="7">
        <v>0.04</v>
      </c>
      <c r="G5" s="8">
        <f>B5*F5</f>
        <v>0.04</v>
      </c>
      <c r="H5" s="6"/>
      <c r="I5" s="6" t="s">
        <v>21</v>
      </c>
      <c r="J5" s="1" t="s">
        <v>24</v>
      </c>
      <c r="K5" s="10" t="s">
        <v>28</v>
      </c>
    </row>
    <row r="6" spans="1:11" ht="45" x14ac:dyDescent="0.25">
      <c r="A6" s="4">
        <v>2</v>
      </c>
      <c r="B6" s="5">
        <v>16</v>
      </c>
      <c r="C6" s="1" t="s">
        <v>9</v>
      </c>
      <c r="D6" s="6"/>
      <c r="E6" s="6"/>
      <c r="F6" s="7">
        <v>1.2E-2</v>
      </c>
      <c r="G6" s="8">
        <f t="shared" ref="G6:G11" si="0">B6*F6</f>
        <v>0.192</v>
      </c>
      <c r="H6" s="6" t="s">
        <v>19</v>
      </c>
      <c r="I6" s="6" t="s">
        <v>22</v>
      </c>
      <c r="K6" s="10" t="s">
        <v>31</v>
      </c>
    </row>
    <row r="7" spans="1:11" ht="45" x14ac:dyDescent="0.25">
      <c r="A7" s="4">
        <v>3</v>
      </c>
      <c r="B7" s="5">
        <v>16</v>
      </c>
      <c r="C7" s="1" t="s">
        <v>10</v>
      </c>
      <c r="D7" s="6"/>
      <c r="E7" s="6"/>
      <c r="F7" s="8">
        <v>0.02</v>
      </c>
      <c r="G7" s="8">
        <f t="shared" si="0"/>
        <v>0.32</v>
      </c>
      <c r="H7" s="6" t="s">
        <v>20</v>
      </c>
      <c r="I7" s="6" t="s">
        <v>23</v>
      </c>
      <c r="K7" s="10" t="s">
        <v>33</v>
      </c>
    </row>
    <row r="8" spans="1:11" x14ac:dyDescent="0.25">
      <c r="A8" s="4">
        <v>4</v>
      </c>
      <c r="B8" s="5">
        <v>2</v>
      </c>
      <c r="D8" s="6"/>
      <c r="E8" s="6"/>
      <c r="F8" s="8">
        <v>0.12</v>
      </c>
      <c r="G8" s="8">
        <f t="shared" si="0"/>
        <v>0.24</v>
      </c>
      <c r="H8" s="6"/>
      <c r="I8" s="6"/>
      <c r="J8" s="1" t="s">
        <v>36</v>
      </c>
      <c r="K8" s="10" t="s">
        <v>35</v>
      </c>
    </row>
    <row r="9" spans="1:11" ht="30" x14ac:dyDescent="0.25">
      <c r="A9" s="4">
        <v>5</v>
      </c>
      <c r="B9" s="5">
        <v>1</v>
      </c>
      <c r="C9" s="1" t="s">
        <v>11</v>
      </c>
      <c r="D9" s="6"/>
      <c r="E9" s="6"/>
      <c r="F9" s="7">
        <v>3.69</v>
      </c>
      <c r="G9" s="8">
        <f t="shared" si="0"/>
        <v>3.69</v>
      </c>
      <c r="H9" s="6"/>
      <c r="I9" s="6"/>
      <c r="J9" s="1" t="s">
        <v>38</v>
      </c>
      <c r="K9" s="10" t="s">
        <v>34</v>
      </c>
    </row>
    <row r="10" spans="1:11" x14ac:dyDescent="0.25">
      <c r="A10" s="4">
        <v>6</v>
      </c>
      <c r="B10" s="5">
        <v>1</v>
      </c>
      <c r="C10" s="1" t="s">
        <v>12</v>
      </c>
      <c r="D10" s="6" t="s">
        <v>15</v>
      </c>
      <c r="E10" s="6" t="s">
        <v>17</v>
      </c>
      <c r="F10" s="7">
        <v>0.47</v>
      </c>
      <c r="G10" s="8">
        <f t="shared" si="0"/>
        <v>0.47</v>
      </c>
      <c r="H10" s="6"/>
      <c r="I10" s="6"/>
      <c r="J10" s="1" t="s">
        <v>25</v>
      </c>
      <c r="K10" s="10" t="s">
        <v>32</v>
      </c>
    </row>
    <row r="11" spans="1:11" x14ac:dyDescent="0.25">
      <c r="A11" s="4">
        <v>7</v>
      </c>
      <c r="B11" s="5">
        <v>1</v>
      </c>
      <c r="C11" s="1" t="s">
        <v>13</v>
      </c>
      <c r="D11" s="6"/>
      <c r="E11" s="6" t="s">
        <v>18</v>
      </c>
      <c r="F11" s="7">
        <v>0.05</v>
      </c>
      <c r="G11" s="8">
        <f t="shared" si="0"/>
        <v>0.05</v>
      </c>
      <c r="H11" s="6"/>
      <c r="I11" s="6"/>
      <c r="J11" s="1" t="s">
        <v>37</v>
      </c>
      <c r="K11" s="10" t="s">
        <v>27</v>
      </c>
    </row>
    <row r="12" spans="1:11" x14ac:dyDescent="0.25">
      <c r="G12" s="11">
        <f>SUM(G5:G11)</f>
        <v>5.0019999999999998</v>
      </c>
    </row>
  </sheetData>
  <mergeCells count="1">
    <mergeCell ref="A1:J1"/>
  </mergeCells>
  <conditionalFormatting sqref="B5:J11">
    <cfRule type="notContainsErrors" dxfId="0" priority="1">
      <formula>NOT(ISERROR(B5))</formula>
    </cfRule>
  </conditionalFormatting>
  <hyperlinks>
    <hyperlink ref="K11" r:id="rId1" xr:uid="{90F933F0-FB15-42BD-A7F3-54038A3CC61D}"/>
    <hyperlink ref="K5" r:id="rId2" xr:uid="{93A87FDB-03CE-45BA-A43A-9D6334315944}"/>
    <hyperlink ref="K6" r:id="rId3" xr:uid="{1A26782A-0D90-44E5-B190-2EA2E48B15D0}"/>
    <hyperlink ref="K10" r:id="rId4" xr:uid="{171B5E1A-5CB2-48A3-BCEA-0A74301ADD22}"/>
    <hyperlink ref="K7" r:id="rId5" xr:uid="{5FBD553F-B81C-416D-9F32-5E414AD174E9}"/>
    <hyperlink ref="K9" r:id="rId6" xr:uid="{76636846-4466-41E9-9FF7-972BCCB88A7E}"/>
    <hyperlink ref="K8" r:id="rId7" xr:uid="{6D56989C-06A7-4929-B8E3-C02B8D2D2CC0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2020-03-09T09:23:11Z</dcterms:created>
  <dcterms:modified xsi:type="dcterms:W3CDTF">2020-03-10T19:16:01Z</dcterms:modified>
</cp:coreProperties>
</file>